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1010d77603bcc94/Desktop/"/>
    </mc:Choice>
  </mc:AlternateContent>
  <xr:revisionPtr revIDLastSave="0" documentId="8_{CE07789D-2EA6-4574-A329-C32522CC97F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8_RTU" sheetId="13" r:id="rId1"/>
    <sheet name="Sheet1" sheetId="1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1" i="13" l="1"/>
  <c r="H40" i="13"/>
  <c r="H39" i="13"/>
  <c r="H38" i="13"/>
  <c r="F42" i="13"/>
  <c r="B42" i="13"/>
  <c r="K41" i="13"/>
  <c r="I41" i="13"/>
  <c r="L41" i="13" s="1"/>
  <c r="H42" i="13" l="1"/>
  <c r="K40" i="13" l="1"/>
  <c r="E39" i="13"/>
  <c r="K39" i="13" s="1"/>
  <c r="E38" i="13"/>
  <c r="K38" i="13" s="1"/>
  <c r="E37" i="13"/>
  <c r="K37" i="13" s="1"/>
  <c r="C42" i="13"/>
  <c r="G38" i="13"/>
  <c r="G37" i="13"/>
  <c r="H37" i="13" s="1"/>
  <c r="B19" i="13"/>
  <c r="I14" i="13" s="1"/>
  <c r="B13" i="13"/>
  <c r="M9" i="13"/>
  <c r="E5" i="13"/>
  <c r="H5" i="13" s="1"/>
  <c r="I39" i="13" l="1"/>
  <c r="L39" i="13" s="1"/>
  <c r="I40" i="13"/>
  <c r="L40" i="13" s="1"/>
  <c r="I37" i="13"/>
  <c r="I38" i="13"/>
  <c r="G5" i="13"/>
  <c r="B24" i="13" s="1"/>
  <c r="L38" i="13" l="1"/>
  <c r="I42" i="13"/>
  <c r="I5" i="13"/>
  <c r="I13" i="13" s="1"/>
  <c r="I15" i="13" s="1"/>
  <c r="B32" i="13"/>
  <c r="L43" i="13" s="1"/>
  <c r="L37" i="13"/>
  <c r="L42" i="13" s="1"/>
  <c r="L44" i="13" l="1"/>
  <c r="B46" i="13" s="1"/>
</calcChain>
</file>

<file path=xl/sharedStrings.xml><?xml version="1.0" encoding="utf-8"?>
<sst xmlns="http://schemas.openxmlformats.org/spreadsheetml/2006/main" count="66" uniqueCount="56">
  <si>
    <t>TOTAL</t>
  </si>
  <si>
    <t>Machine</t>
  </si>
  <si>
    <t>NDP USD</t>
  </si>
  <si>
    <t>Margin</t>
  </si>
  <si>
    <t>Computation / month</t>
  </si>
  <si>
    <t>Volume /day</t>
  </si>
  <si>
    <t>Volume/month</t>
  </si>
  <si>
    <t>Kit/month</t>
  </si>
  <si>
    <t>A1c Control</t>
  </si>
  <si>
    <t>Calibrator</t>
  </si>
  <si>
    <t>Column</t>
  </si>
  <si>
    <t>ROI in YEAR</t>
  </si>
  <si>
    <t>Landed Cost</t>
  </si>
  <si>
    <t>PMS</t>
  </si>
  <si>
    <t>LIS Connectivity</t>
  </si>
  <si>
    <t>Miscelleaneous</t>
  </si>
  <si>
    <t>200 test</t>
  </si>
  <si>
    <t>H8 200 test</t>
  </si>
  <si>
    <t>Lifotronic H8</t>
  </si>
  <si>
    <t>Currency</t>
  </si>
  <si>
    <t>Exchange Rate</t>
  </si>
  <si>
    <t>Price in PHP</t>
  </si>
  <si>
    <t>Quantity</t>
  </si>
  <si>
    <t>Total</t>
  </si>
  <si>
    <t>Total Cost</t>
  </si>
  <si>
    <t>USD</t>
  </si>
  <si>
    <t>Shipping Fee (30%)</t>
  </si>
  <si>
    <t>UPS</t>
  </si>
  <si>
    <t>AVR</t>
  </si>
  <si>
    <t>Aircon</t>
  </si>
  <si>
    <t>Ref</t>
  </si>
  <si>
    <t>PHP</t>
  </si>
  <si>
    <t>TROUBLESHOOTING</t>
  </si>
  <si>
    <t>SPARE PARTS</t>
  </si>
  <si>
    <t>TRAINING</t>
  </si>
  <si>
    <t>DEMO REAGENTS</t>
  </si>
  <si>
    <t>REPRESENTATION</t>
  </si>
  <si>
    <t>PRE INSTALLATION</t>
  </si>
  <si>
    <t>POST INSTALLATION</t>
  </si>
  <si>
    <t>Shipping</t>
  </si>
  <si>
    <t>Price Offer</t>
  </si>
  <si>
    <t>Taxes</t>
  </si>
  <si>
    <t>Price Offer Net</t>
  </si>
  <si>
    <t>Total Cost of Reagent</t>
  </si>
  <si>
    <t>Total margin</t>
  </si>
  <si>
    <t>YEARS</t>
  </si>
  <si>
    <t>ROI TEMPLATE_MARKETING</t>
  </si>
  <si>
    <t>SPONSORSHIP</t>
  </si>
  <si>
    <t>PAMET</t>
  </si>
  <si>
    <t>Christmas Party</t>
  </si>
  <si>
    <t>Table</t>
  </si>
  <si>
    <t>SALES AND COLLECTION</t>
  </si>
  <si>
    <t xml:space="preserve">INCENTIVE </t>
  </si>
  <si>
    <t>Team Building and Company Anniversary</t>
  </si>
  <si>
    <t>Sample Diluting cups</t>
  </si>
  <si>
    <t>Quantity (1 yr)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</si>
</sst>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&quot;Php&quot;* #,##0.00_);_(&quot;Php&quot;* \(#,##0.00\);_(&quot;Php&quot;* &quot;-&quot;??_);_(@_)"/>
    <numFmt numFmtId="165" formatCode="[$PHP]\ #,##0.00"/>
    <numFmt numFmtId="166" formatCode="_(* #,##0.0_);_(* \(#,##0.0\);_(* &quot;-&quot;??_);_(@_)"/>
    <numFmt numFmtId="167" formatCode="_([$Php-3409]* #,##0.00_);_([$Php-3409]* \(#,##0.00\);_([$Php-3409]* &quot;-&quot;??_);_(@_)"/>
    <numFmt numFmtId="168" formatCode="0.0"/>
  </numFmts>
  <fonts count="18">
    <font>
      <sz val="10"/>
      <name val="Arial"/>
      <charset val="134"/>
    </font>
    <font>
      <b/>
      <sz val="10"/>
      <name val="Arial"/>
      <charset val="134"/>
    </font>
    <font>
      <b/>
      <sz val="10"/>
      <color indexed="12"/>
      <name val="Arial"/>
      <charset val="134"/>
    </font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name val="Arial"/>
      <family val="2"/>
    </font>
    <font>
      <sz val="11"/>
      <name val="Arial"/>
      <family val="2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10"/>
      <color rgb="FF0070C0"/>
      <name val="Calibri"/>
      <family val="2"/>
      <scheme val="minor"/>
    </font>
    <font>
      <sz val="10"/>
      <color theme="4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</borders>
  <cellStyleXfs count="12">
    <xf numFmtId="0" fontId="0" fillId="0" borderId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3" fillId="0" borderId="0"/>
    <xf numFmtId="0" fontId="17" fillId="0" borderId="0"/>
    <xf numFmtId="43" fontId="17" fillId="0" borderId="0" applyFont="0" applyFill="0" applyBorder="0" applyAlignment="0" applyProtection="0"/>
    <xf numFmtId="164" fontId="17" fillId="0" borderId="0" applyFont="0" applyFill="0" applyBorder="0" applyAlignment="0" applyProtection="0"/>
  </cellStyleXfs>
  <cellXfs count="12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Protection="1">
      <protection locked="0"/>
    </xf>
    <xf numFmtId="168" fontId="2" fillId="2" borderId="0" xfId="0" applyNumberFormat="1" applyFont="1" applyFill="1" applyProtection="1">
      <protection locked="0"/>
    </xf>
    <xf numFmtId="0" fontId="5" fillId="0" borderId="0" xfId="0" applyFont="1"/>
    <xf numFmtId="0" fontId="7" fillId="2" borderId="2" xfId="0" applyFont="1" applyFill="1" applyBorder="1" applyProtection="1">
      <protection locked="0"/>
    </xf>
    <xf numFmtId="2" fontId="8" fillId="0" borderId="0" xfId="3" applyNumberFormat="1" applyFont="1" applyAlignment="1"/>
    <xf numFmtId="0" fontId="8" fillId="0" borderId="0" xfId="0" applyFont="1"/>
    <xf numFmtId="0" fontId="7" fillId="2" borderId="3" xfId="0" applyFont="1" applyFill="1" applyBorder="1" applyProtection="1">
      <protection locked="0"/>
    </xf>
    <xf numFmtId="43" fontId="9" fillId="2" borderId="3" xfId="4" applyFont="1" applyFill="1" applyBorder="1" applyAlignment="1"/>
    <xf numFmtId="43" fontId="7" fillId="2" borderId="3" xfId="4" applyFont="1" applyFill="1" applyBorder="1" applyAlignment="1"/>
    <xf numFmtId="0" fontId="7" fillId="2" borderId="0" xfId="0" applyFont="1" applyFill="1" applyProtection="1">
      <protection locked="0"/>
    </xf>
    <xf numFmtId="43" fontId="8" fillId="2" borderId="0" xfId="3" applyFont="1" applyFill="1" applyBorder="1" applyAlignment="1" applyProtection="1">
      <protection locked="0"/>
    </xf>
    <xf numFmtId="43" fontId="8" fillId="2" borderId="0" xfId="1" applyFont="1" applyFill="1" applyBorder="1" applyAlignment="1" applyProtection="1">
      <protection locked="0"/>
    </xf>
    <xf numFmtId="43" fontId="11" fillId="2" borderId="0" xfId="3" applyFont="1" applyFill="1" applyBorder="1" applyAlignment="1" applyProtection="1">
      <protection locked="0"/>
    </xf>
    <xf numFmtId="2" fontId="11" fillId="2" borderId="0" xfId="3" applyNumberFormat="1" applyFont="1" applyFill="1" applyBorder="1" applyAlignment="1" applyProtection="1">
      <protection locked="0"/>
    </xf>
    <xf numFmtId="166" fontId="12" fillId="2" borderId="0" xfId="3" applyNumberFormat="1" applyFont="1" applyFill="1" applyBorder="1" applyAlignment="1" applyProtection="1">
      <protection locked="0"/>
    </xf>
    <xf numFmtId="43" fontId="8" fillId="0" borderId="0" xfId="1" applyFont="1" applyAlignment="1"/>
    <xf numFmtId="165" fontId="13" fillId="2" borderId="3" xfId="0" applyNumberFormat="1" applyFont="1" applyFill="1" applyBorder="1"/>
    <xf numFmtId="43" fontId="8" fillId="2" borderId="3" xfId="1" applyFont="1" applyFill="1" applyBorder="1" applyAlignment="1" applyProtection="1">
      <protection locked="0"/>
    </xf>
    <xf numFmtId="166" fontId="10" fillId="2" borderId="3" xfId="1" applyNumberFormat="1" applyFont="1" applyFill="1" applyBorder="1" applyAlignment="1" applyProtection="1">
      <protection locked="0"/>
    </xf>
    <xf numFmtId="43" fontId="11" fillId="2" borderId="3" xfId="1" applyFont="1" applyFill="1" applyBorder="1" applyAlignment="1" applyProtection="1">
      <protection locked="0"/>
    </xf>
    <xf numFmtId="0" fontId="8" fillId="2" borderId="3" xfId="0" applyFont="1" applyFill="1" applyBorder="1" applyProtection="1">
      <protection locked="0"/>
    </xf>
    <xf numFmtId="43" fontId="8" fillId="0" borderId="3" xfId="1" applyFont="1" applyBorder="1" applyAlignment="1"/>
    <xf numFmtId="0" fontId="11" fillId="0" borderId="3" xfId="0" applyFont="1" applyBorder="1" applyAlignment="1">
      <alignment horizontal="center"/>
    </xf>
    <xf numFmtId="43" fontId="8" fillId="0" borderId="3" xfId="1" applyFont="1" applyFill="1" applyBorder="1" applyAlignment="1"/>
    <xf numFmtId="43" fontId="14" fillId="0" borderId="3" xfId="1" applyFont="1" applyFill="1" applyBorder="1" applyAlignment="1"/>
    <xf numFmtId="43" fontId="8" fillId="0" borderId="3" xfId="1" applyFont="1" applyFill="1" applyBorder="1" applyAlignment="1" applyProtection="1">
      <protection locked="0"/>
    </xf>
    <xf numFmtId="164" fontId="8" fillId="0" borderId="3" xfId="2" applyFont="1" applyFill="1" applyBorder="1" applyAlignment="1" applyProtection="1">
      <protection locked="0"/>
    </xf>
    <xf numFmtId="0" fontId="8" fillId="0" borderId="3" xfId="0" applyFont="1" applyBorder="1" applyAlignment="1">
      <alignment horizontal="center"/>
    </xf>
    <xf numFmtId="43" fontId="8" fillId="2" borderId="3" xfId="3" applyFont="1" applyFill="1" applyBorder="1" applyAlignment="1" applyProtection="1">
      <alignment horizontal="right"/>
      <protection locked="0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165" fontId="8" fillId="0" borderId="0" xfId="0" applyNumberFormat="1" applyFont="1" applyProtection="1">
      <protection locked="0"/>
    </xf>
    <xf numFmtId="43" fontId="8" fillId="0" borderId="0" xfId="1" applyFont="1" applyAlignment="1" applyProtection="1">
      <protection locked="0"/>
    </xf>
    <xf numFmtId="0" fontId="8" fillId="0" borderId="0" xfId="0" applyFont="1" applyProtection="1">
      <protection locked="0"/>
    </xf>
    <xf numFmtId="0" fontId="7" fillId="0" borderId="0" xfId="0" applyFont="1" applyProtection="1">
      <protection locked="0"/>
    </xf>
    <xf numFmtId="43" fontId="8" fillId="0" borderId="0" xfId="3" applyFont="1" applyAlignment="1" applyProtection="1">
      <protection locked="0"/>
    </xf>
    <xf numFmtId="2" fontId="8" fillId="0" borderId="0" xfId="3" applyNumberFormat="1" applyFont="1" applyAlignment="1" applyProtection="1">
      <protection locked="0"/>
    </xf>
    <xf numFmtId="43" fontId="8" fillId="3" borderId="0" xfId="3" applyFont="1" applyFill="1" applyAlignment="1" applyProtection="1">
      <protection locked="0"/>
    </xf>
    <xf numFmtId="43" fontId="8" fillId="0" borderId="0" xfId="3" applyFont="1" applyFill="1" applyAlignment="1" applyProtection="1">
      <protection locked="0"/>
    </xf>
    <xf numFmtId="2" fontId="8" fillId="0" borderId="0" xfId="3" applyNumberFormat="1" applyFont="1" applyFill="1" applyAlignment="1" applyProtection="1">
      <protection locked="0"/>
    </xf>
    <xf numFmtId="0" fontId="11" fillId="0" borderId="0" xfId="0" applyFont="1" applyProtection="1">
      <protection locked="0"/>
    </xf>
    <xf numFmtId="43" fontId="11" fillId="0" borderId="0" xfId="1" applyFont="1" applyAlignment="1" applyProtection="1">
      <protection locked="0"/>
    </xf>
    <xf numFmtId="167" fontId="11" fillId="0" borderId="0" xfId="1" applyNumberFormat="1" applyFont="1" applyAlignment="1" applyProtection="1">
      <protection locked="0"/>
    </xf>
    <xf numFmtId="2" fontId="11" fillId="0" borderId="0" xfId="1" applyNumberFormat="1" applyFont="1" applyAlignment="1" applyProtection="1">
      <protection locked="0"/>
    </xf>
    <xf numFmtId="1" fontId="11" fillId="0" borderId="0" xfId="0" applyNumberFormat="1" applyFont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43" fontId="8" fillId="0" borderId="0" xfId="1" applyFont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/>
      <protection locked="0"/>
    </xf>
    <xf numFmtId="43" fontId="8" fillId="0" borderId="3" xfId="1" applyFont="1" applyBorder="1" applyAlignment="1" applyProtection="1">
      <protection locked="0"/>
    </xf>
    <xf numFmtId="43" fontId="8" fillId="0" borderId="0" xfId="0" applyNumberFormat="1" applyFont="1" applyProtection="1">
      <protection locked="0"/>
    </xf>
    <xf numFmtId="43" fontId="15" fillId="0" borderId="0" xfId="1" applyFont="1" applyAlignment="1" applyProtection="1">
      <protection locked="0"/>
    </xf>
    <xf numFmtId="0" fontId="8" fillId="0" borderId="3" xfId="0" applyFont="1" applyBorder="1" applyAlignment="1">
      <alignment horizontal="right"/>
    </xf>
    <xf numFmtId="0" fontId="8" fillId="0" borderId="3" xfId="0" applyFont="1" applyBorder="1"/>
    <xf numFmtId="43" fontId="9" fillId="2" borderId="6" xfId="4" applyFont="1" applyFill="1" applyBorder="1" applyAlignment="1"/>
    <xf numFmtId="0" fontId="6" fillId="0" borderId="3" xfId="0" applyFont="1" applyBorder="1"/>
    <xf numFmtId="0" fontId="5" fillId="0" borderId="3" xfId="0" applyFont="1" applyBorder="1"/>
    <xf numFmtId="0" fontId="5" fillId="0" borderId="3" xfId="0" quotePrefix="1" applyFont="1" applyBorder="1"/>
    <xf numFmtId="43" fontId="8" fillId="0" borderId="3" xfId="3" applyFont="1" applyBorder="1" applyAlignment="1">
      <alignment horizontal="right"/>
    </xf>
    <xf numFmtId="2" fontId="8" fillId="0" borderId="3" xfId="3" applyNumberFormat="1" applyFont="1" applyBorder="1" applyAlignment="1">
      <alignment horizontal="right"/>
    </xf>
    <xf numFmtId="0" fontId="8" fillId="0" borderId="3" xfId="0" applyFont="1" applyBorder="1" applyAlignment="1">
      <alignment horizontal="right" vertical="center"/>
    </xf>
    <xf numFmtId="43" fontId="7" fillId="2" borderId="0" xfId="4" applyFont="1" applyFill="1" applyBorder="1" applyAlignment="1"/>
    <xf numFmtId="0" fontId="0" fillId="0" borderId="3" xfId="0" applyBorder="1"/>
    <xf numFmtId="0" fontId="7" fillId="3" borderId="3" xfId="0" applyFont="1" applyFill="1" applyBorder="1" applyProtection="1">
      <protection locked="0"/>
    </xf>
    <xf numFmtId="43" fontId="7" fillId="3" borderId="3" xfId="4" applyFont="1" applyFill="1" applyBorder="1" applyAlignment="1"/>
    <xf numFmtId="2" fontId="11" fillId="2" borderId="7" xfId="0" applyNumberFormat="1" applyFont="1" applyFill="1" applyBorder="1" applyAlignment="1" applyProtection="1">
      <alignment horizontal="center"/>
      <protection locked="0"/>
    </xf>
    <xf numFmtId="2" fontId="8" fillId="2" borderId="8" xfId="0" applyNumberFormat="1" applyFont="1" applyFill="1" applyBorder="1"/>
    <xf numFmtId="0" fontId="7" fillId="2" borderId="10" xfId="0" applyFont="1" applyFill="1" applyBorder="1" applyProtection="1">
      <protection locked="0"/>
    </xf>
    <xf numFmtId="43" fontId="8" fillId="0" borderId="0" xfId="1" applyFont="1" applyBorder="1" applyAlignment="1" applyProtection="1">
      <protection locked="0"/>
    </xf>
    <xf numFmtId="4" fontId="11" fillId="2" borderId="3" xfId="0" applyNumberFormat="1" applyFont="1" applyFill="1" applyBorder="1" applyAlignment="1" applyProtection="1">
      <alignment horizontal="center"/>
      <protection locked="0"/>
    </xf>
    <xf numFmtId="43" fontId="11" fillId="2" borderId="3" xfId="1" applyFont="1" applyFill="1" applyBorder="1" applyAlignment="1" applyProtection="1">
      <alignment horizontal="center"/>
      <protection locked="0"/>
    </xf>
    <xf numFmtId="0" fontId="11" fillId="2" borderId="3" xfId="0" applyFont="1" applyFill="1" applyBorder="1" applyAlignment="1" applyProtection="1">
      <alignment horizontal="center"/>
      <protection locked="0"/>
    </xf>
    <xf numFmtId="43" fontId="7" fillId="2" borderId="3" xfId="1" applyFont="1" applyFill="1" applyBorder="1" applyAlignment="1" applyProtection="1">
      <protection locked="0"/>
    </xf>
    <xf numFmtId="165" fontId="8" fillId="0" borderId="3" xfId="0" applyNumberFormat="1" applyFont="1" applyBorder="1" applyProtection="1">
      <protection locked="0"/>
    </xf>
    <xf numFmtId="0" fontId="0" fillId="0" borderId="3" xfId="0" applyBorder="1" applyProtection="1">
      <protection locked="0"/>
    </xf>
    <xf numFmtId="0" fontId="14" fillId="2" borderId="3" xfId="0" applyFont="1" applyFill="1" applyBorder="1" applyProtection="1">
      <protection locked="0"/>
    </xf>
    <xf numFmtId="164" fontId="8" fillId="2" borderId="3" xfId="2" applyFont="1" applyFill="1" applyBorder="1" applyAlignment="1" applyProtection="1">
      <protection locked="0"/>
    </xf>
    <xf numFmtId="9" fontId="8" fillId="2" borderId="3" xfId="1" applyNumberFormat="1" applyFont="1" applyFill="1" applyBorder="1" applyAlignment="1" applyProtection="1">
      <protection locked="0"/>
    </xf>
    <xf numFmtId="9" fontId="8" fillId="2" borderId="3" xfId="0" applyNumberFormat="1" applyFont="1" applyFill="1" applyBorder="1" applyProtection="1">
      <protection locked="0"/>
    </xf>
    <xf numFmtId="43" fontId="8" fillId="0" borderId="3" xfId="0" applyNumberFormat="1" applyFont="1" applyBorder="1" applyAlignment="1">
      <alignment horizontal="center"/>
    </xf>
    <xf numFmtId="1" fontId="8" fillId="0" borderId="3" xfId="0" applyNumberFormat="1" applyFont="1" applyBorder="1"/>
    <xf numFmtId="1" fontId="8" fillId="0" borderId="3" xfId="0" applyNumberFormat="1" applyFont="1" applyBorder="1" applyProtection="1">
      <protection locked="0"/>
    </xf>
    <xf numFmtId="0" fontId="7" fillId="0" borderId="0" xfId="0" applyFont="1" applyAlignment="1" applyProtection="1">
      <alignment horizontal="center"/>
      <protection locked="0"/>
    </xf>
    <xf numFmtId="43" fontId="9" fillId="2" borderId="3" xfId="1" applyFont="1" applyFill="1" applyBorder="1" applyAlignment="1"/>
    <xf numFmtId="43" fontId="8" fillId="0" borderId="3" xfId="1" applyFont="1" applyBorder="1"/>
    <xf numFmtId="43" fontId="8" fillId="3" borderId="0" xfId="1" applyFont="1" applyFill="1" applyBorder="1"/>
    <xf numFmtId="43" fontId="11" fillId="0" borderId="0" xfId="3" applyFont="1" applyBorder="1" applyAlignment="1" applyProtection="1">
      <alignment horizontal="center"/>
      <protection locked="0"/>
    </xf>
    <xf numFmtId="0" fontId="9" fillId="0" borderId="0" xfId="0" applyFont="1" applyProtection="1">
      <protection locked="0"/>
    </xf>
    <xf numFmtId="0" fontId="8" fillId="0" borderId="0" xfId="1" applyNumberFormat="1" applyFont="1" applyBorder="1" applyAlignment="1" applyProtection="1">
      <alignment horizontal="center"/>
      <protection locked="0"/>
    </xf>
    <xf numFmtId="165" fontId="8" fillId="0" borderId="0" xfId="0" applyNumberFormat="1" applyFont="1"/>
    <xf numFmtId="0" fontId="15" fillId="0" borderId="0" xfId="0" applyFont="1" applyProtection="1">
      <protection locked="0"/>
    </xf>
    <xf numFmtId="43" fontId="11" fillId="0" borderId="0" xfId="0" applyNumberFormat="1" applyFont="1" applyProtection="1">
      <protection locked="0"/>
    </xf>
    <xf numFmtId="165" fontId="10" fillId="0" borderId="0" xfId="0" applyNumberFormat="1" applyFont="1"/>
    <xf numFmtId="1" fontId="9" fillId="0" borderId="3" xfId="0" applyNumberFormat="1" applyFont="1" applyBorder="1"/>
    <xf numFmtId="2" fontId="8" fillId="0" borderId="0" xfId="3" applyNumberFormat="1" applyFont="1" applyFill="1" applyBorder="1" applyAlignment="1" applyProtection="1">
      <protection locked="0"/>
    </xf>
    <xf numFmtId="43" fontId="10" fillId="0" borderId="0" xfId="3" applyFont="1" applyBorder="1" applyAlignment="1" applyProtection="1">
      <protection locked="0"/>
    </xf>
    <xf numFmtId="43" fontId="11" fillId="0" borderId="0" xfId="1" applyFont="1" applyBorder="1" applyAlignment="1" applyProtection="1">
      <alignment horizontal="center"/>
      <protection locked="0"/>
    </xf>
    <xf numFmtId="43" fontId="14" fillId="0" borderId="0" xfId="1" applyFont="1" applyBorder="1" applyAlignment="1"/>
    <xf numFmtId="43" fontId="10" fillId="0" borderId="0" xfId="0" applyNumberFormat="1" applyFont="1" applyProtection="1">
      <protection locked="0"/>
    </xf>
    <xf numFmtId="0" fontId="9" fillId="2" borderId="3" xfId="0" applyFont="1" applyFill="1" applyBorder="1" applyAlignment="1" applyProtection="1">
      <alignment horizontal="right"/>
      <protection locked="0"/>
    </xf>
    <xf numFmtId="43" fontId="11" fillId="3" borderId="0" xfId="1" applyFont="1" applyFill="1" applyBorder="1" applyAlignment="1" applyProtection="1">
      <protection locked="0"/>
    </xf>
    <xf numFmtId="0" fontId="7" fillId="0" borderId="8" xfId="0" applyFont="1" applyBorder="1" applyAlignment="1">
      <alignment horizontal="center"/>
    </xf>
    <xf numFmtId="2" fontId="11" fillId="2" borderId="8" xfId="0" applyNumberFormat="1" applyFont="1" applyFill="1" applyBorder="1" applyAlignment="1" applyProtection="1">
      <alignment horizontal="center"/>
      <protection locked="0"/>
    </xf>
    <xf numFmtId="2" fontId="11" fillId="2" borderId="9" xfId="0" applyNumberFormat="1" applyFont="1" applyFill="1" applyBorder="1" applyAlignment="1" applyProtection="1">
      <alignment horizontal="center"/>
      <protection locked="0"/>
    </xf>
    <xf numFmtId="0" fontId="7" fillId="2" borderId="9" xfId="0" applyFont="1" applyFill="1" applyBorder="1" applyAlignment="1" applyProtection="1">
      <alignment horizontal="center"/>
      <protection locked="0"/>
    </xf>
    <xf numFmtId="43" fontId="9" fillId="0" borderId="3" xfId="1" applyFont="1" applyFill="1" applyBorder="1" applyAlignment="1"/>
    <xf numFmtId="43" fontId="9" fillId="0" borderId="3" xfId="0" applyNumberFormat="1" applyFont="1" applyBorder="1" applyAlignment="1" applyProtection="1">
      <alignment horizontal="center"/>
      <protection locked="0"/>
    </xf>
    <xf numFmtId="43" fontId="9" fillId="2" borderId="3" xfId="0" applyNumberFormat="1" applyFont="1" applyFill="1" applyBorder="1" applyAlignment="1" applyProtection="1">
      <alignment horizontal="center"/>
      <protection locked="0"/>
    </xf>
    <xf numFmtId="0" fontId="9" fillId="2" borderId="3" xfId="0" applyFont="1" applyFill="1" applyBorder="1" applyAlignment="1" applyProtection="1">
      <alignment horizontal="center"/>
      <protection locked="0"/>
    </xf>
    <xf numFmtId="0" fontId="9" fillId="2" borderId="3" xfId="0" applyFont="1" applyFill="1" applyBorder="1" applyAlignment="1" applyProtection="1">
      <alignment horizontal="center" vertical="center"/>
      <protection locked="0"/>
    </xf>
    <xf numFmtId="165" fontId="7" fillId="2" borderId="3" xfId="0" applyNumberFormat="1" applyFont="1" applyFill="1" applyBorder="1" applyProtection="1">
      <protection locked="0"/>
    </xf>
    <xf numFmtId="43" fontId="14" fillId="0" borderId="3" xfId="1" applyFont="1" applyFill="1" applyBorder="1" applyAlignment="1" applyProtection="1">
      <protection locked="0"/>
    </xf>
    <xf numFmtId="2" fontId="11" fillId="2" borderId="3" xfId="3" applyNumberFormat="1" applyFont="1" applyFill="1" applyBorder="1" applyAlignment="1" applyProtection="1">
      <protection locked="0"/>
    </xf>
    <xf numFmtId="3" fontId="8" fillId="0" borderId="0" xfId="0" applyNumberFormat="1" applyFont="1"/>
    <xf numFmtId="4" fontId="8" fillId="0" borderId="0" xfId="0" applyNumberFormat="1" applyFont="1"/>
    <xf numFmtId="4" fontId="8" fillId="0" borderId="3" xfId="0" applyNumberFormat="1" applyFont="1" applyBorder="1"/>
    <xf numFmtId="43" fontId="12" fillId="2" borderId="4" xfId="1" applyFont="1" applyFill="1" applyBorder="1" applyAlignment="1" applyProtection="1">
      <alignment horizontal="center"/>
      <protection locked="0"/>
    </xf>
    <xf numFmtId="0" fontId="9" fillId="2" borderId="3" xfId="0" applyFont="1" applyFill="1" applyBorder="1" applyAlignment="1" applyProtection="1">
      <alignment horizontal="left" wrapText="1"/>
      <protection locked="0"/>
    </xf>
    <xf numFmtId="0" fontId="9" fillId="2" borderId="3" xfId="0" applyFont="1" applyFill="1" applyBorder="1" applyAlignment="1" applyProtection="1">
      <alignment horizontal="left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0" borderId="11" xfId="0" applyFont="1" applyBorder="1" applyAlignment="1" applyProtection="1">
      <alignment horizontal="center"/>
      <protection locked="0"/>
    </xf>
    <xf numFmtId="0" fontId="16" fillId="0" borderId="0" xfId="0" applyFont="1" applyAlignment="1">
      <alignment horizontal="center" vertical="center" wrapText="1"/>
    </xf>
    <xf numFmtId="43" fontId="5" fillId="2" borderId="1" xfId="3" applyFont="1" applyFill="1" applyBorder="1" applyAlignment="1" applyProtection="1">
      <protection locked="0"/>
    </xf>
    <xf numFmtId="43" fontId="5" fillId="2" borderId="5" xfId="3" applyFont="1" applyFill="1" applyBorder="1" applyAlignment="1" applyProtection="1">
      <protection locked="0"/>
    </xf>
    <xf numFmtId="43" fontId="12" fillId="2" borderId="4" xfId="1" applyFont="1" applyFill="1" applyBorder="1" applyAlignment="1" applyProtection="1">
      <alignment horizontal="center"/>
      <protection locked="0"/>
    </xf>
    <xf numFmtId="0" fontId="7" fillId="2" borderId="3" xfId="0" applyFont="1" applyFill="1" applyBorder="1" applyAlignment="1" applyProtection="1">
      <alignment horizontal="center"/>
      <protection locked="0"/>
    </xf>
    <xf numFmtId="0" fontId="7" fillId="2" borderId="4" xfId="0" applyFont="1" applyFill="1" applyBorder="1" applyAlignment="1" applyProtection="1">
      <alignment horizontal="center"/>
      <protection locked="0"/>
    </xf>
  </cellXfs>
  <cellStyles count="12">
    <cellStyle name="Comma" xfId="1" builtinId="3"/>
    <cellStyle name="Comma 2" xfId="3" xr:uid="{00000000-0005-0000-0000-000031000000}"/>
    <cellStyle name="Comma 2 2" xfId="4" xr:uid="{00000000-0005-0000-0000-000032000000}"/>
    <cellStyle name="Comma 2 2 2" xfId="10" xr:uid="{F50F6506-50A9-48A5-A8C7-176755B1DE5F}"/>
    <cellStyle name="Comma 3" xfId="5" xr:uid="{00000000-0005-0000-0000-000033000000}"/>
    <cellStyle name="Comma 4" xfId="6" xr:uid="{00000000-0005-0000-0000-000034000000}"/>
    <cellStyle name="Currency" xfId="2" builtinId="4"/>
    <cellStyle name="Currency 2" xfId="7" xr:uid="{00000000-0005-0000-0000-000035000000}"/>
    <cellStyle name="Currency 3" xfId="11" xr:uid="{5ECD44A7-C08E-4770-B226-123F48BC38ED}"/>
    <cellStyle name="Normal" xfId="0" builtinId="0"/>
    <cellStyle name="Normal 2" xfId="8" xr:uid="{00000000-0005-0000-0000-000036000000}"/>
    <cellStyle name="Normal 3" xfId="9" xr:uid="{EE841B9C-5A07-4AB4-868B-B33DBF38750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808A7-7C41-4065-A0E9-C331B041AA49}">
  <dimension ref="A1:O54"/>
  <sheetViews>
    <sheetView tabSelected="1" zoomScale="90" zoomScaleNormal="90" workbookViewId="0">
      <selection activeCell="I30" sqref="I30"/>
    </sheetView>
  </sheetViews>
  <sheetFormatPr defaultColWidth="8.6640625" defaultRowHeight="13.2"/>
  <cols>
    <col min="1" max="1" width="22.33203125" customWidth="1"/>
    <col min="2" max="2" width="20.21875" customWidth="1"/>
    <col min="3" max="3" width="15.33203125" customWidth="1"/>
    <col min="4" max="4" width="19" customWidth="1"/>
    <col min="5" max="5" width="12.6640625" customWidth="1"/>
    <col min="6" max="6" width="13.109375" customWidth="1"/>
    <col min="7" max="7" width="17.44140625" customWidth="1"/>
    <col min="8" max="8" width="18.109375" customWidth="1"/>
    <col min="9" max="9" width="21.6640625" customWidth="1"/>
    <col min="10" max="10" width="13.5546875" bestFit="1" customWidth="1"/>
    <col min="11" max="11" width="17.5546875" customWidth="1"/>
    <col min="12" max="12" width="15.44140625" customWidth="1"/>
    <col min="13" max="13" width="17.109375" customWidth="1"/>
  </cols>
  <sheetData>
    <row r="1" spans="1:15" ht="34.799999999999997" customHeight="1">
      <c r="A1" s="123" t="s">
        <v>46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</row>
    <row r="2" spans="1:15" ht="13.8" thickBot="1"/>
    <row r="3" spans="1:15" ht="13.8">
      <c r="A3" s="124"/>
      <c r="B3" s="125"/>
      <c r="C3" s="57"/>
      <c r="D3" s="57"/>
      <c r="E3" s="57"/>
      <c r="F3" s="57"/>
      <c r="G3" s="58"/>
      <c r="H3" s="59"/>
      <c r="I3" s="58"/>
      <c r="J3" s="5"/>
      <c r="K3" s="5"/>
      <c r="L3" s="5"/>
      <c r="M3" s="1"/>
      <c r="N3" s="1"/>
      <c r="O3" s="1"/>
    </row>
    <row r="4" spans="1:15" ht="13.8">
      <c r="A4" s="6"/>
      <c r="B4" s="13"/>
      <c r="C4" s="60" t="s">
        <v>19</v>
      </c>
      <c r="D4" s="54" t="s">
        <v>20</v>
      </c>
      <c r="E4" s="60" t="s">
        <v>21</v>
      </c>
      <c r="F4" s="61" t="s">
        <v>22</v>
      </c>
      <c r="G4" s="54" t="s">
        <v>23</v>
      </c>
      <c r="H4" s="54" t="s">
        <v>26</v>
      </c>
      <c r="I4" s="54" t="s">
        <v>24</v>
      </c>
      <c r="J4" s="8"/>
      <c r="K4" s="8"/>
      <c r="L4" s="8"/>
    </row>
    <row r="5" spans="1:15" ht="13.8">
      <c r="A5" s="9" t="s">
        <v>18</v>
      </c>
      <c r="B5" s="56">
        <v>6500</v>
      </c>
      <c r="C5" s="62" t="s">
        <v>25</v>
      </c>
      <c r="D5" s="55">
        <v>65</v>
      </c>
      <c r="E5" s="117">
        <f>B5*D5</f>
        <v>422500</v>
      </c>
      <c r="F5" s="55">
        <v>1</v>
      </c>
      <c r="G5" s="24">
        <f>E5*F5</f>
        <v>422500</v>
      </c>
      <c r="H5" s="86">
        <f>E5*0.3</f>
        <v>126750</v>
      </c>
      <c r="I5" s="24">
        <f>G5+H5</f>
        <v>549250</v>
      </c>
      <c r="J5" s="8"/>
      <c r="K5" s="8"/>
      <c r="L5" s="8"/>
    </row>
    <row r="6" spans="1:15" ht="13.8">
      <c r="A6" s="9" t="s">
        <v>15</v>
      </c>
      <c r="B6" s="56"/>
      <c r="C6" s="55"/>
      <c r="D6" s="55"/>
      <c r="E6" s="55"/>
      <c r="F6" s="55"/>
      <c r="G6" s="55"/>
      <c r="H6" s="55"/>
      <c r="I6" s="24"/>
      <c r="J6" s="8"/>
      <c r="K6" s="18"/>
      <c r="L6" s="126" t="s">
        <v>4</v>
      </c>
      <c r="M6" s="126"/>
      <c r="N6" s="8"/>
    </row>
    <row r="7" spans="1:15" ht="13.8">
      <c r="A7" s="101" t="s">
        <v>50</v>
      </c>
      <c r="B7" s="56"/>
      <c r="C7" s="55"/>
      <c r="D7" s="55"/>
      <c r="E7" s="55"/>
      <c r="F7" s="55"/>
      <c r="G7" s="55"/>
      <c r="H7" s="55"/>
      <c r="I7" s="24"/>
      <c r="J7" s="8"/>
      <c r="K7" s="18"/>
      <c r="L7" s="118"/>
      <c r="M7" s="118"/>
      <c r="N7" s="8"/>
    </row>
    <row r="8" spans="1:15" ht="13.8">
      <c r="A8" s="101" t="s">
        <v>29</v>
      </c>
      <c r="B8" s="56"/>
      <c r="C8" s="54" t="s">
        <v>31</v>
      </c>
      <c r="D8" s="55"/>
      <c r="E8" s="10"/>
      <c r="F8" s="55">
        <v>1</v>
      </c>
      <c r="G8" s="10"/>
      <c r="H8" s="55"/>
      <c r="I8" s="85"/>
      <c r="J8" s="8"/>
      <c r="K8" s="24" t="s">
        <v>5</v>
      </c>
      <c r="L8" s="25" t="s">
        <v>6</v>
      </c>
      <c r="M8" s="25" t="s">
        <v>7</v>
      </c>
      <c r="N8" s="8"/>
    </row>
    <row r="9" spans="1:15" ht="13.8">
      <c r="A9" s="101" t="s">
        <v>30</v>
      </c>
      <c r="B9" s="56"/>
      <c r="C9" s="54" t="s">
        <v>31</v>
      </c>
      <c r="D9" s="55"/>
      <c r="E9" s="10"/>
      <c r="F9" s="55">
        <v>1</v>
      </c>
      <c r="G9" s="10"/>
      <c r="H9" s="55"/>
      <c r="I9" s="85"/>
      <c r="J9" s="8"/>
      <c r="K9" s="30">
        <v>20</v>
      </c>
      <c r="L9" s="30">
        <v>520</v>
      </c>
      <c r="M9" s="25">
        <f>L9/200</f>
        <v>2.6</v>
      </c>
      <c r="N9" s="8" t="s">
        <v>16</v>
      </c>
    </row>
    <row r="10" spans="1:15" ht="13.8">
      <c r="A10" s="101" t="s">
        <v>28</v>
      </c>
      <c r="B10" s="56">
        <v>3500</v>
      </c>
      <c r="C10" s="54" t="s">
        <v>31</v>
      </c>
      <c r="D10" s="55"/>
      <c r="E10" s="10">
        <v>3500</v>
      </c>
      <c r="F10" s="55">
        <v>1</v>
      </c>
      <c r="G10" s="10">
        <v>3500</v>
      </c>
      <c r="H10" s="55"/>
      <c r="I10" s="85">
        <v>3500</v>
      </c>
      <c r="J10" s="8"/>
      <c r="K10" s="8"/>
      <c r="L10" s="8"/>
    </row>
    <row r="11" spans="1:15" ht="13.8">
      <c r="A11" s="101" t="s">
        <v>27</v>
      </c>
      <c r="B11" s="56">
        <v>2590</v>
      </c>
      <c r="C11" s="54" t="s">
        <v>31</v>
      </c>
      <c r="D11" s="55"/>
      <c r="E11" s="10">
        <v>2590</v>
      </c>
      <c r="F11" s="55">
        <v>1</v>
      </c>
      <c r="G11" s="10">
        <v>2590</v>
      </c>
      <c r="H11" s="55"/>
      <c r="I11" s="85">
        <v>2590</v>
      </c>
      <c r="J11" s="8"/>
      <c r="K11" s="8"/>
      <c r="L11" s="8"/>
    </row>
    <row r="12" spans="1:15" ht="13.8">
      <c r="A12" s="9" t="s">
        <v>14</v>
      </c>
      <c r="B12" s="56">
        <v>250000</v>
      </c>
      <c r="C12" s="54" t="s">
        <v>31</v>
      </c>
      <c r="D12" s="55"/>
      <c r="E12" s="117">
        <v>250000</v>
      </c>
      <c r="F12" s="55">
        <v>1</v>
      </c>
      <c r="G12" s="117">
        <v>250000</v>
      </c>
      <c r="H12" s="55"/>
      <c r="I12" s="24">
        <v>250000</v>
      </c>
      <c r="J12" s="8"/>
      <c r="K12" s="8"/>
      <c r="L12" s="8"/>
    </row>
    <row r="13" spans="1:15" ht="13.8">
      <c r="A13" s="9" t="s">
        <v>0</v>
      </c>
      <c r="B13" s="11">
        <f>SUM(B5:B12)</f>
        <v>262590</v>
      </c>
      <c r="C13" s="55"/>
      <c r="D13" s="55"/>
      <c r="E13" s="55"/>
      <c r="F13" s="55"/>
      <c r="G13" s="55"/>
      <c r="H13" s="55"/>
      <c r="I13" s="86">
        <f>SUM(I5:I12)</f>
        <v>805340</v>
      </c>
      <c r="J13" s="8"/>
      <c r="K13" s="8"/>
      <c r="L13" s="8"/>
    </row>
    <row r="14" spans="1:15" ht="13.8">
      <c r="A14" s="127" t="s">
        <v>37</v>
      </c>
      <c r="B14" s="127"/>
      <c r="C14" s="127"/>
      <c r="D14" s="127"/>
      <c r="E14" s="127"/>
      <c r="F14" s="127"/>
      <c r="G14" s="127"/>
      <c r="H14" s="127"/>
      <c r="I14" s="86">
        <f>B19</f>
        <v>12000</v>
      </c>
      <c r="J14" s="8"/>
      <c r="K14" s="8"/>
      <c r="L14" s="8"/>
    </row>
    <row r="15" spans="1:15" ht="13.8">
      <c r="A15" s="12"/>
      <c r="B15" s="63"/>
      <c r="C15" s="8"/>
      <c r="D15" s="8"/>
      <c r="E15" s="8"/>
      <c r="F15" s="8"/>
      <c r="G15" s="8"/>
      <c r="H15" s="8"/>
      <c r="I15" s="87">
        <f>SUM(I13:I14)</f>
        <v>817340</v>
      </c>
      <c r="J15" s="8"/>
      <c r="K15" s="8"/>
      <c r="L15" s="8"/>
    </row>
    <row r="16" spans="1:15" ht="13.8">
      <c r="A16" s="128" t="s">
        <v>37</v>
      </c>
      <c r="B16" s="12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 spans="1:12" ht="13.8">
      <c r="A17" s="9" t="s">
        <v>35</v>
      </c>
      <c r="B17" s="11">
        <v>10000</v>
      </c>
      <c r="C17" s="8"/>
      <c r="D17" s="115"/>
      <c r="E17" s="8"/>
      <c r="F17" s="8"/>
      <c r="G17" s="8"/>
      <c r="H17" s="8"/>
      <c r="I17" s="8"/>
      <c r="J17" s="8"/>
      <c r="K17" s="8"/>
      <c r="L17" s="8"/>
    </row>
    <row r="18" spans="1:12" ht="13.8">
      <c r="A18" s="9" t="s">
        <v>36</v>
      </c>
      <c r="B18" s="11">
        <v>2000</v>
      </c>
      <c r="C18" s="8"/>
      <c r="D18" s="116"/>
      <c r="E18" s="8"/>
      <c r="F18" s="8"/>
      <c r="G18" s="8"/>
      <c r="H18" s="8"/>
      <c r="I18" s="8"/>
      <c r="J18" s="8"/>
      <c r="K18" s="8"/>
      <c r="L18" s="8"/>
    </row>
    <row r="19" spans="1:12" ht="13.8">
      <c r="A19" s="65" t="s">
        <v>0</v>
      </c>
      <c r="B19" s="66">
        <f>SUM(B17:B18)</f>
        <v>12000</v>
      </c>
      <c r="C19" s="8"/>
      <c r="D19" s="116"/>
      <c r="E19" s="8"/>
      <c r="F19" s="8"/>
      <c r="G19" s="8"/>
      <c r="H19" s="8"/>
      <c r="I19" s="8"/>
      <c r="J19" s="8"/>
      <c r="K19" s="8"/>
      <c r="L19" s="8"/>
    </row>
    <row r="20" spans="1:12" ht="13.8">
      <c r="A20" s="12"/>
      <c r="B20" s="63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 spans="1:12" ht="13.8">
      <c r="A21" s="128" t="s">
        <v>38</v>
      </c>
      <c r="B21" s="12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1:12" ht="13.8">
      <c r="A22" s="9" t="s">
        <v>13</v>
      </c>
      <c r="B22" s="11">
        <v>30000</v>
      </c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1:12" ht="13.8">
      <c r="A23" s="9" t="s">
        <v>32</v>
      </c>
      <c r="B23" s="11">
        <v>30000</v>
      </c>
      <c r="C23" s="8"/>
      <c r="D23" s="8"/>
      <c r="E23" s="8"/>
      <c r="F23" s="8"/>
      <c r="G23" s="8"/>
      <c r="H23" s="8"/>
      <c r="I23" s="8"/>
      <c r="J23" s="8"/>
      <c r="K23" s="8"/>
      <c r="L23" s="8"/>
    </row>
    <row r="24" spans="1:12" ht="13.8">
      <c r="A24" s="9" t="s">
        <v>33</v>
      </c>
      <c r="B24" s="11">
        <f>G5*0.2</f>
        <v>84500</v>
      </c>
      <c r="C24" s="8"/>
      <c r="D24" s="8"/>
      <c r="E24" s="8"/>
      <c r="F24" s="8"/>
      <c r="G24" s="8"/>
      <c r="H24" s="8"/>
      <c r="I24" s="8"/>
      <c r="J24" s="8"/>
      <c r="K24" s="8"/>
      <c r="L24" s="8"/>
    </row>
    <row r="25" spans="1:12" ht="13.8">
      <c r="A25" s="9" t="s">
        <v>47</v>
      </c>
      <c r="B25" s="11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 spans="1:12" ht="27.6">
      <c r="A26" s="119" t="s">
        <v>53</v>
      </c>
      <c r="B26" s="11">
        <v>15000</v>
      </c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12" ht="13.8">
      <c r="A27" s="120" t="s">
        <v>49</v>
      </c>
      <c r="B27" s="11">
        <v>20000</v>
      </c>
      <c r="C27" s="8"/>
      <c r="D27" s="8"/>
      <c r="E27" s="8"/>
      <c r="F27" s="8"/>
      <c r="G27" s="8"/>
      <c r="H27" s="8"/>
      <c r="I27" s="8"/>
      <c r="J27" s="8"/>
      <c r="K27" s="8"/>
      <c r="L27" s="8"/>
    </row>
    <row r="28" spans="1:12" ht="13.8">
      <c r="A28" s="120" t="s">
        <v>48</v>
      </c>
      <c r="B28" s="11">
        <v>21000</v>
      </c>
      <c r="C28" s="8"/>
      <c r="D28" s="8"/>
      <c r="E28" s="8"/>
      <c r="F28" s="8"/>
      <c r="G28" s="8"/>
      <c r="H28" s="8"/>
      <c r="I28" s="8"/>
      <c r="J28" s="8"/>
      <c r="K28" s="8"/>
      <c r="L28" s="8"/>
    </row>
    <row r="29" spans="1:12" ht="13.8">
      <c r="A29" s="9" t="s">
        <v>52</v>
      </c>
      <c r="B29" s="11">
        <v>5000</v>
      </c>
      <c r="C29" s="8"/>
      <c r="D29" s="8"/>
      <c r="E29" s="8"/>
      <c r="F29" s="8"/>
      <c r="G29" s="8"/>
      <c r="H29" s="8"/>
      <c r="I29" s="8"/>
      <c r="J29" s="8"/>
      <c r="K29" s="8"/>
      <c r="L29" s="8"/>
    </row>
    <row r="30" spans="1:12" ht="13.8">
      <c r="A30" s="9" t="s">
        <v>51</v>
      </c>
      <c r="B30" s="11">
        <v>147420</v>
      </c>
      <c r="C30" s="8"/>
      <c r="D30" s="8"/>
      <c r="E30" s="8"/>
      <c r="F30" s="8"/>
      <c r="G30" s="8"/>
      <c r="H30" s="8"/>
      <c r="I30" s="8"/>
      <c r="J30" s="8"/>
      <c r="K30" s="8"/>
      <c r="L30" s="8"/>
    </row>
    <row r="31" spans="1:12" ht="13.8">
      <c r="A31" s="9" t="s">
        <v>34</v>
      </c>
      <c r="B31" s="11">
        <v>5000</v>
      </c>
      <c r="C31" s="8"/>
      <c r="D31" s="8"/>
      <c r="E31" s="8"/>
      <c r="F31" s="8"/>
      <c r="G31" s="8"/>
      <c r="H31" s="8"/>
      <c r="I31" s="8"/>
      <c r="J31" s="8"/>
      <c r="K31" s="8"/>
      <c r="L31" s="8"/>
    </row>
    <row r="32" spans="1:12" ht="13.8">
      <c r="A32" s="65" t="s">
        <v>0</v>
      </c>
      <c r="B32" s="66">
        <f>SUM(B22:B31)</f>
        <v>357920</v>
      </c>
      <c r="C32" s="8"/>
      <c r="D32" s="8"/>
      <c r="E32" s="8"/>
      <c r="F32" s="8"/>
      <c r="G32" s="8"/>
      <c r="H32" s="8"/>
      <c r="I32" s="8"/>
      <c r="J32" s="8"/>
      <c r="K32" s="8"/>
      <c r="L32" s="8"/>
    </row>
    <row r="33" spans="1:15" ht="13.8">
      <c r="A33" s="12"/>
      <c r="B33" s="63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spans="1:15" ht="14.4" thickBot="1">
      <c r="A34" s="12"/>
      <c r="B34" s="15"/>
      <c r="C34" s="15"/>
      <c r="D34" s="15"/>
      <c r="E34" s="15"/>
      <c r="F34" s="16"/>
      <c r="G34" s="16"/>
      <c r="H34" s="13"/>
      <c r="I34" s="14"/>
      <c r="J34" s="17"/>
      <c r="K34" s="18"/>
      <c r="L34" s="18"/>
      <c r="M34" s="4"/>
    </row>
    <row r="35" spans="1:15" ht="13.8">
      <c r="A35" s="67" t="s">
        <v>1</v>
      </c>
      <c r="B35" s="71" t="s">
        <v>2</v>
      </c>
      <c r="C35" s="72" t="s">
        <v>20</v>
      </c>
      <c r="D35" s="72" t="s">
        <v>39</v>
      </c>
      <c r="E35" s="72" t="s">
        <v>12</v>
      </c>
      <c r="F35" s="73" t="s">
        <v>40</v>
      </c>
      <c r="G35" s="73" t="s">
        <v>41</v>
      </c>
      <c r="H35" s="73" t="s">
        <v>42</v>
      </c>
      <c r="I35" s="30" t="s">
        <v>3</v>
      </c>
      <c r="J35" s="24" t="s">
        <v>55</v>
      </c>
      <c r="K35" s="74" t="s">
        <v>43</v>
      </c>
      <c r="L35" s="54" t="s">
        <v>44</v>
      </c>
    </row>
    <row r="36" spans="1:15" ht="13.8">
      <c r="A36" s="68"/>
      <c r="B36" s="19"/>
      <c r="C36" s="20"/>
      <c r="D36" s="79">
        <v>0.3</v>
      </c>
      <c r="E36" s="21">
        <v>0.7</v>
      </c>
      <c r="F36" s="22"/>
      <c r="G36" s="80">
        <v>0.12</v>
      </c>
      <c r="H36" s="23"/>
      <c r="I36" s="23"/>
      <c r="J36" s="55"/>
      <c r="K36" s="24"/>
      <c r="L36" s="25"/>
      <c r="M36" s="64"/>
    </row>
    <row r="37" spans="1:15" ht="13.8">
      <c r="A37" s="103" t="s">
        <v>17</v>
      </c>
      <c r="B37" s="26">
        <v>150</v>
      </c>
      <c r="C37" s="107">
        <v>65</v>
      </c>
      <c r="D37" s="27"/>
      <c r="E37" s="107">
        <f>(B37*C37)/E36</f>
        <v>13928.571428571429</v>
      </c>
      <c r="F37" s="113">
        <v>62000</v>
      </c>
      <c r="G37" s="108">
        <f>F37*G36</f>
        <v>7440</v>
      </c>
      <c r="H37" s="29">
        <f>F37-G37</f>
        <v>54560</v>
      </c>
      <c r="I37" s="75">
        <f>H37-E37</f>
        <v>40631.428571428572</v>
      </c>
      <c r="J37" s="82">
        <v>36</v>
      </c>
      <c r="K37" s="81">
        <f>J37*E37</f>
        <v>501428.57142857148</v>
      </c>
      <c r="L37" s="81">
        <f>J37*I37</f>
        <v>1462731.4285714286</v>
      </c>
      <c r="M37" s="64"/>
    </row>
    <row r="38" spans="1:15" ht="13.8">
      <c r="A38" s="104" t="s">
        <v>8</v>
      </c>
      <c r="B38" s="31">
        <v>15</v>
      </c>
      <c r="C38" s="107">
        <v>65</v>
      </c>
      <c r="D38" s="27"/>
      <c r="E38" s="107">
        <f>(B38*C38)/E36</f>
        <v>1392.8571428571429</v>
      </c>
      <c r="F38" s="113">
        <v>3000</v>
      </c>
      <c r="G38" s="109">
        <f>F38*G36</f>
        <v>360</v>
      </c>
      <c r="H38" s="29">
        <f>F38-G38</f>
        <v>2640</v>
      </c>
      <c r="I38" s="75">
        <f>H38-E38</f>
        <v>1247.1428571428571</v>
      </c>
      <c r="J38" s="95">
        <v>36</v>
      </c>
      <c r="K38" s="81">
        <f t="shared" ref="K38:K40" si="0">J38*E38</f>
        <v>50142.857142857145</v>
      </c>
      <c r="L38" s="81">
        <f t="shared" ref="L38:L40" si="1">J38*I38</f>
        <v>44897.142857142855</v>
      </c>
      <c r="M38" s="64"/>
    </row>
    <row r="39" spans="1:15" ht="13.8">
      <c r="A39" s="105" t="s">
        <v>9</v>
      </c>
      <c r="B39" s="31">
        <v>15</v>
      </c>
      <c r="C39" s="107">
        <v>65</v>
      </c>
      <c r="D39" s="27"/>
      <c r="E39" s="107">
        <f>(B39*C39)/E36</f>
        <v>1392.8571428571429</v>
      </c>
      <c r="F39" s="28">
        <v>0</v>
      </c>
      <c r="G39" s="110">
        <v>0</v>
      </c>
      <c r="H39" s="29">
        <f>F39-G39</f>
        <v>0</v>
      </c>
      <c r="I39" s="75">
        <f>H39-E39</f>
        <v>-1392.8571428571429</v>
      </c>
      <c r="J39" s="82">
        <v>12</v>
      </c>
      <c r="K39" s="81">
        <f t="shared" si="0"/>
        <v>16714.285714285714</v>
      </c>
      <c r="L39" s="81">
        <f>J39*I39</f>
        <v>-16714.285714285714</v>
      </c>
      <c r="M39" s="64"/>
    </row>
    <row r="40" spans="1:15" ht="13.8">
      <c r="A40" s="106" t="s">
        <v>10</v>
      </c>
      <c r="B40" s="114">
        <v>300</v>
      </c>
      <c r="C40" s="107">
        <v>61</v>
      </c>
      <c r="D40" s="27"/>
      <c r="E40" s="107">
        <v>18300</v>
      </c>
      <c r="F40" s="22">
        <v>0</v>
      </c>
      <c r="G40" s="111">
        <v>0</v>
      </c>
      <c r="H40" s="29">
        <f>F40-G40</f>
        <v>0</v>
      </c>
      <c r="I40" s="75">
        <f>H40-E40</f>
        <v>-18300</v>
      </c>
      <c r="J40" s="83">
        <v>4</v>
      </c>
      <c r="K40" s="81">
        <f t="shared" si="0"/>
        <v>73200</v>
      </c>
      <c r="L40" s="81">
        <f t="shared" si="1"/>
        <v>-73200</v>
      </c>
      <c r="M40" s="76"/>
    </row>
    <row r="41" spans="1:15" ht="13.8">
      <c r="A41" s="106" t="s">
        <v>54</v>
      </c>
      <c r="B41" s="114"/>
      <c r="C41" s="22"/>
      <c r="D41" s="27"/>
      <c r="E41" s="107">
        <v>500</v>
      </c>
      <c r="F41" s="22">
        <v>0</v>
      </c>
      <c r="G41" s="111">
        <v>0</v>
      </c>
      <c r="H41" s="29">
        <f>F41-G41</f>
        <v>0</v>
      </c>
      <c r="I41" s="75">
        <f>H41-E41</f>
        <v>-500</v>
      </c>
      <c r="J41" s="83">
        <v>12</v>
      </c>
      <c r="K41" s="81">
        <f>J41*E41</f>
        <v>6000</v>
      </c>
      <c r="L41" s="81">
        <f>J41*I41</f>
        <v>-6000</v>
      </c>
      <c r="M41" s="76"/>
    </row>
    <row r="42" spans="1:15" ht="14.4" thickBot="1">
      <c r="A42" s="69" t="s">
        <v>0</v>
      </c>
      <c r="B42" s="114">
        <f>SUM(B37:B40)</f>
        <v>480</v>
      </c>
      <c r="C42" s="22">
        <f>SUM(C37:C40)</f>
        <v>256</v>
      </c>
      <c r="D42" s="22"/>
      <c r="E42" s="22"/>
      <c r="F42" s="22">
        <f>SUM(F37:F41)</f>
        <v>65000</v>
      </c>
      <c r="G42" s="77"/>
      <c r="H42" s="78">
        <f>SUM(H37:H41)</f>
        <v>57200</v>
      </c>
      <c r="I42" s="112">
        <f>SUM(I37:I41)</f>
        <v>21685.714285714283</v>
      </c>
      <c r="J42" s="75"/>
      <c r="K42" s="51"/>
      <c r="L42" s="51">
        <f>SUM(L37:L41)</f>
        <v>1411714.2857142859</v>
      </c>
      <c r="M42" s="76"/>
    </row>
    <row r="43" spans="1:15" ht="13.8">
      <c r="A43" s="121" t="s">
        <v>38</v>
      </c>
      <c r="B43" s="121"/>
      <c r="C43" s="121"/>
      <c r="D43" s="121"/>
      <c r="E43" s="121"/>
      <c r="F43" s="121"/>
      <c r="G43" s="121"/>
      <c r="H43" s="121"/>
      <c r="I43" s="121"/>
      <c r="J43" s="121"/>
      <c r="K43" s="122"/>
      <c r="L43" s="51">
        <f>B32</f>
        <v>357920</v>
      </c>
      <c r="M43" s="76"/>
    </row>
    <row r="44" spans="1:15" ht="13.8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102">
        <f>L42-L43</f>
        <v>1053794.2857142859</v>
      </c>
      <c r="M44" s="3"/>
    </row>
    <row r="45" spans="1:15" ht="13.8">
      <c r="A45" s="37"/>
      <c r="B45" s="38"/>
      <c r="C45" s="38"/>
      <c r="D45" s="38"/>
      <c r="E45" s="38"/>
      <c r="F45" s="39"/>
      <c r="G45" s="39"/>
      <c r="H45" s="38"/>
      <c r="I45" s="35"/>
      <c r="J45" s="8"/>
      <c r="K45" s="18"/>
      <c r="L45" s="34"/>
      <c r="M45" s="3"/>
    </row>
    <row r="46" spans="1:15" ht="13.8">
      <c r="A46" s="37" t="s">
        <v>11</v>
      </c>
      <c r="B46" s="40">
        <f>I15/L44</f>
        <v>0.77561627642152964</v>
      </c>
      <c r="C46" s="41" t="s">
        <v>45</v>
      </c>
      <c r="D46" s="41"/>
      <c r="E46" s="41"/>
      <c r="F46" s="42"/>
      <c r="G46" s="96"/>
      <c r="H46" s="97"/>
      <c r="I46" s="98"/>
      <c r="J46" s="99"/>
      <c r="K46" s="100"/>
      <c r="L46" s="34"/>
      <c r="M46" s="3"/>
    </row>
    <row r="47" spans="1:15" ht="13.8">
      <c r="A47" s="37"/>
      <c r="B47" s="41"/>
      <c r="C47" s="41"/>
      <c r="D47" s="41"/>
      <c r="E47" s="41"/>
      <c r="F47" s="42"/>
      <c r="G47" s="42"/>
      <c r="H47" s="38"/>
      <c r="I47" s="35"/>
      <c r="J47" s="43"/>
      <c r="K47" s="44"/>
      <c r="L47" s="44"/>
      <c r="M47" s="3"/>
    </row>
    <row r="48" spans="1:15" ht="13.8">
      <c r="A48" s="37"/>
      <c r="B48" s="45"/>
      <c r="C48" s="45"/>
      <c r="D48" s="45"/>
      <c r="E48" s="45"/>
      <c r="F48" s="46"/>
      <c r="G48" s="46"/>
      <c r="H48" s="45"/>
      <c r="I48" s="44"/>
      <c r="J48" s="47"/>
      <c r="K48" s="48"/>
      <c r="L48" s="48"/>
      <c r="M48" s="2"/>
      <c r="N48" s="2"/>
      <c r="O48" s="2"/>
    </row>
    <row r="49" spans="1:12" ht="13.8">
      <c r="A49" s="84"/>
      <c r="B49" s="88"/>
      <c r="C49" s="88"/>
      <c r="D49" s="33"/>
      <c r="E49" s="32"/>
      <c r="F49" s="49"/>
      <c r="G49" s="50"/>
      <c r="H49" s="47"/>
      <c r="I49" s="35"/>
      <c r="J49" s="36"/>
      <c r="K49" s="36"/>
      <c r="L49" s="36"/>
    </row>
    <row r="50" spans="1:12" ht="13.8">
      <c r="A50" s="89"/>
      <c r="B50" s="90"/>
      <c r="C50" s="70"/>
      <c r="D50" s="91"/>
      <c r="E50" s="7"/>
      <c r="F50" s="35"/>
      <c r="G50" s="52"/>
      <c r="H50" s="35"/>
      <c r="I50" s="35"/>
      <c r="J50" s="36"/>
      <c r="K50" s="36"/>
      <c r="L50" s="36"/>
    </row>
    <row r="51" spans="1:12" ht="13.8">
      <c r="A51" s="89"/>
      <c r="B51" s="90"/>
      <c r="C51" s="70"/>
      <c r="D51" s="91"/>
      <c r="E51" s="7"/>
      <c r="F51" s="44"/>
      <c r="G51" s="36"/>
      <c r="H51" s="35"/>
      <c r="I51" s="35"/>
      <c r="J51" s="36"/>
      <c r="K51" s="36"/>
      <c r="L51" s="36"/>
    </row>
    <row r="52" spans="1:12" ht="13.8">
      <c r="A52" s="89"/>
      <c r="B52" s="90"/>
      <c r="C52" s="70"/>
      <c r="D52" s="91"/>
      <c r="E52" s="7"/>
      <c r="F52" s="44"/>
      <c r="G52" s="36"/>
      <c r="H52" s="35"/>
      <c r="I52" s="35"/>
      <c r="J52" s="36"/>
      <c r="K52" s="36"/>
      <c r="L52" s="36"/>
    </row>
    <row r="53" spans="1:12" ht="13.8">
      <c r="A53" s="89"/>
      <c r="B53" s="90"/>
      <c r="C53" s="70"/>
      <c r="D53" s="91"/>
      <c r="E53" s="7"/>
      <c r="F53" s="44"/>
      <c r="G53" s="36"/>
      <c r="H53" s="35"/>
      <c r="I53" s="35"/>
      <c r="J53" s="36"/>
      <c r="K53" s="36"/>
      <c r="L53" s="36"/>
    </row>
    <row r="54" spans="1:12" ht="13.8">
      <c r="A54" s="89"/>
      <c r="B54" s="92"/>
      <c r="C54" s="93"/>
      <c r="D54" s="94"/>
      <c r="E54" s="7"/>
      <c r="F54" s="53"/>
      <c r="G54" s="36"/>
      <c r="H54" s="35"/>
      <c r="I54" s="36"/>
      <c r="J54" s="35"/>
      <c r="K54" s="35"/>
      <c r="L54" s="36"/>
    </row>
  </sheetData>
  <mergeCells count="7">
    <mergeCell ref="A43:K43"/>
    <mergeCell ref="A1:N1"/>
    <mergeCell ref="A3:B3"/>
    <mergeCell ref="L6:M6"/>
    <mergeCell ref="A14:H14"/>
    <mergeCell ref="A16:B16"/>
    <mergeCell ref="A21:B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3F600-E220-4D4E-9804-B6A258CD267B}">
  <dimension ref="A1"/>
  <sheetViews>
    <sheetView workbookViewId="0"/>
  </sheetViews>
  <sheetFormatPr defaultRowHeight="13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H8_RTU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Rex A. Tiri</dc:creator>
  <cp:lastModifiedBy>mklm.accustandard@outlook.com</cp:lastModifiedBy>
  <cp:lastPrinted>2018-01-10T05:38:00Z</cp:lastPrinted>
  <dcterms:created xsi:type="dcterms:W3CDTF">2006-01-10T04:00:00Z</dcterms:created>
  <dcterms:modified xsi:type="dcterms:W3CDTF">2026-08-05T01:52:59Z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7CAAC1B7C8934453A99530BC955D66F0_13</vt:lpwstr>
  </property>
  <property fmtid="{D5CDD505-2E9C-101B-9397-08002B2CF9AE}" pid="3" name="KSOProductBuildVer">
    <vt:lpwstr>1033-12.2.0.18607</vt:lpwstr>
  </property>
</Properties>
</file>